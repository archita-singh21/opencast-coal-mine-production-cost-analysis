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e Model" sheetId="1" r:id="rId4"/>
    <sheet state="hidden" name="Sheet2" sheetId="2" r:id="rId5"/>
    <sheet state="hidden" name="Sheet3" sheetId="3" r:id="rId6"/>
  </sheets>
  <definedNames/>
  <calcPr/>
  <extLst>
    <ext uri="GoogleSheetsCustomDataVersion2">
      <go:sheetsCustomData xmlns:go="http://customooxmlschemas.google.com/" r:id="rId7" roundtripDataChecksum="UsAZQURx3kAUv55bXMQHrEPYnVl3r7Hn5rdJKm5zbXc="/>
    </ext>
  </extLst>
</workbook>
</file>

<file path=xl/sharedStrings.xml><?xml version="1.0" encoding="utf-8"?>
<sst xmlns="http://schemas.openxmlformats.org/spreadsheetml/2006/main" count="33" uniqueCount="32">
  <si>
    <r>
      <rPr>
        <rFont val="Calibri"/>
        <b/>
        <color theme="1"/>
        <sz val="16.0"/>
      </rPr>
      <t xml:space="preserve">Production and Cost Analysis of an Opencast Coal Mine </t>
    </r>
    <r>
      <rPr>
        <rFont val="Calibri"/>
        <b val="0"/>
        <i/>
        <color theme="1"/>
        <sz val="16.0"/>
      </rPr>
      <t>(Case Study based on Indian Opencast Coal Mining Operations)</t>
    </r>
  </si>
  <si>
    <t>INPUT PARAMETERS</t>
  </si>
  <si>
    <t>CALCULATIONS</t>
  </si>
  <si>
    <t>Working days per Year</t>
  </si>
  <si>
    <t>Trips per Dumper per Day</t>
  </si>
  <si>
    <t>Number of Dumpers</t>
  </si>
  <si>
    <t>Daily Production</t>
  </si>
  <si>
    <t>Working hours per Day</t>
  </si>
  <si>
    <t>Total Daily Production</t>
  </si>
  <si>
    <t>Annual Coal Production</t>
  </si>
  <si>
    <t>Dumper Capacity (tonnes)</t>
  </si>
  <si>
    <t>Total Daily Operating Cost</t>
  </si>
  <si>
    <t>Dumper Cycle Time (minutes)</t>
  </si>
  <si>
    <t>Annual Operating Cost</t>
  </si>
  <si>
    <t>Shovel Efficiency</t>
  </si>
  <si>
    <t>Annual Revenue</t>
  </si>
  <si>
    <t>Coal Selling Price (₹/tonne)</t>
  </si>
  <si>
    <t>Annual Profit</t>
  </si>
  <si>
    <t>Diesel Cost per Day</t>
  </si>
  <si>
    <t>Labour Cost per Day</t>
  </si>
  <si>
    <t>Maintenance Cost per Day</t>
  </si>
  <si>
    <t>Blasting Cost per Day</t>
  </si>
  <si>
    <t>OBSERVATIONS :</t>
  </si>
  <si>
    <t>1. Production increases with dumper number.</t>
  </si>
  <si>
    <t>2. Fuel and maintenance are major cost contributors.</t>
  </si>
  <si>
    <t>3. Lower cycle time improves production significantly.</t>
  </si>
  <si>
    <t>4. Proper shovel-dumper matching reduces idle time.</t>
  </si>
  <si>
    <t>CONCLUSION :</t>
  </si>
  <si>
    <t>The project demonstrates how production and profitability of an opencast coal mine depend strongly on equipment utilization, dumper cycle time and operating cost. Excel-based analysis can help optimize mine planning and improve operational efficiency.</t>
  </si>
  <si>
    <t xml:space="preserve"> Prepared by: Archita Singh </t>
  </si>
  <si>
    <t>Department: Mining Engineering</t>
  </si>
  <si>
    <t>Institute: IIT(ISM) Dhanbad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</si>
</sst>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.00"/>
  </numFmts>
  <fonts count="5">
    <font>
      <sz val="11.0"/>
      <color theme="1"/>
      <name val="Calibri"/>
      <scheme val="minor"/>
    </font>
    <font>
      <b/>
      <sz val="16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1" fillId="0" fontId="3" numFmtId="0" xfId="0" applyBorder="1" applyFont="1"/>
    <xf borderId="1" fillId="2" fontId="2" numFmtId="0" xfId="0" applyAlignment="1" applyBorder="1" applyFont="1">
      <alignment horizontal="center"/>
    </xf>
    <xf borderId="0" fillId="0" fontId="3" numFmtId="0" xfId="0" applyFont="1"/>
    <xf borderId="1" fillId="0" fontId="3" numFmtId="0" xfId="0" applyAlignment="1" applyBorder="1" applyFont="1">
      <alignment horizontal="center"/>
    </xf>
    <xf borderId="1" fillId="0" fontId="3" numFmtId="164" xfId="0" applyBorder="1" applyFont="1" applyNumberFormat="1"/>
    <xf borderId="1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Daily Operating Cost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'Mine Model'!$A$12:$A$15</c:f>
            </c:strRef>
          </c:cat>
          <c:val>
            <c:numRef>
              <c:f>'Mine Model'!$B$12:$B$15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Effect of Dumper Number on Production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Daily Production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'Mine Model'!$G$6:$G$10</c:f>
            </c:numRef>
          </c:xVal>
          <c:yVal>
            <c:numRef>
              <c:f>'Mine Model'!$H$6:$H$10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756879"/>
        <c:axId val="725295489"/>
      </c:scatterChart>
      <c:valAx>
        <c:axId val="787756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295489"/>
      </c:valAx>
      <c:valAx>
        <c:axId val="725295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77568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361950</xdr:colOff>
      <xdr:row>2</xdr:row>
      <xdr:rowOff>19050</xdr:rowOff>
    </xdr:from>
    <xdr:ext cx="3705225" cy="2314575"/>
    <xdr:graphicFrame>
      <xdr:nvGraphicFramePr>
        <xdr:cNvPr id="177826402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361950</xdr:colOff>
      <xdr:row>17</xdr:row>
      <xdr:rowOff>28575</xdr:rowOff>
    </xdr:from>
    <xdr:ext cx="3714750" cy="2581275"/>
    <xdr:graphicFrame>
      <xdr:nvGraphicFramePr>
        <xdr:cNvPr id="78438695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43"/>
    <col customWidth="1" min="2" max="2" width="11.71"/>
    <col customWidth="1" min="3" max="3" width="8.71"/>
    <col customWidth="1" min="4" max="4" width="23.71"/>
    <col customWidth="1" min="5" max="5" width="17.43"/>
    <col customWidth="1" min="6" max="6" width="8.71"/>
    <col customWidth="1" min="7" max="7" width="18.29"/>
    <col customWidth="1" min="8" max="8" width="20.29"/>
    <col customWidth="1" min="9" max="26" width="8.71"/>
  </cols>
  <sheetData>
    <row r="1" ht="24.75" customHeight="1">
      <c r="A1" s="1" t="s">
        <v>0</v>
      </c>
    </row>
    <row r="2" ht="14.25" customHeight="1"/>
    <row r="3" ht="14.25" customHeight="1">
      <c r="A3" s="2" t="s">
        <v>1</v>
      </c>
      <c r="B3" s="3"/>
      <c r="C3" s="3"/>
      <c r="D3" s="4" t="s">
        <v>2</v>
      </c>
      <c r="E3" s="3"/>
      <c r="F3" s="5"/>
    </row>
    <row r="4" ht="14.25" customHeight="1">
      <c r="A4" s="3"/>
      <c r="B4" s="3"/>
      <c r="C4" s="3"/>
      <c r="D4" s="3"/>
      <c r="E4" s="3"/>
      <c r="F4" s="5"/>
    </row>
    <row r="5" ht="14.25" customHeight="1">
      <c r="A5" s="3" t="s">
        <v>3</v>
      </c>
      <c r="B5" s="3">
        <v>300.0</v>
      </c>
      <c r="C5" s="3"/>
      <c r="D5" s="3" t="s">
        <v>4</v>
      </c>
      <c r="E5" s="3">
        <f>(B6*60)/B9</f>
        <v>48</v>
      </c>
      <c r="F5" s="5"/>
      <c r="G5" s="6" t="s">
        <v>5</v>
      </c>
      <c r="H5" s="6" t="s">
        <v>6</v>
      </c>
    </row>
    <row r="6" ht="14.25" customHeight="1">
      <c r="A6" s="3" t="s">
        <v>7</v>
      </c>
      <c r="B6" s="3">
        <v>20.0</v>
      </c>
      <c r="C6" s="3"/>
      <c r="D6" s="3" t="s">
        <v>8</v>
      </c>
      <c r="E6" s="3">
        <f>E5*B8*B7*B10</f>
        <v>11424</v>
      </c>
      <c r="F6" s="5"/>
      <c r="G6" s="3">
        <v>4.0</v>
      </c>
      <c r="H6" s="3">
        <f t="shared" ref="H6:H10" si="1">(($B$6*60)/$B$9)*$B$8*G6*$B$10</f>
        <v>5712</v>
      </c>
    </row>
    <row r="7" ht="14.25" customHeight="1">
      <c r="A7" s="3" t="s">
        <v>5</v>
      </c>
      <c r="B7" s="3">
        <v>8.0</v>
      </c>
      <c r="C7" s="3"/>
      <c r="D7" s="3" t="s">
        <v>9</v>
      </c>
      <c r="E7" s="3">
        <f>E6*B5</f>
        <v>3427200</v>
      </c>
      <c r="F7" s="5"/>
      <c r="G7" s="3">
        <v>6.0</v>
      </c>
      <c r="H7" s="3">
        <f t="shared" si="1"/>
        <v>8568</v>
      </c>
    </row>
    <row r="8" ht="14.25" customHeight="1">
      <c r="A8" s="3" t="s">
        <v>10</v>
      </c>
      <c r="B8" s="3">
        <v>35.0</v>
      </c>
      <c r="C8" s="3"/>
      <c r="D8" s="3" t="s">
        <v>11</v>
      </c>
      <c r="E8" s="7">
        <f>B12+B13+B14+B15</f>
        <v>280000</v>
      </c>
      <c r="F8" s="5"/>
      <c r="G8" s="3">
        <v>8.0</v>
      </c>
      <c r="H8" s="3">
        <f t="shared" si="1"/>
        <v>11424</v>
      </c>
    </row>
    <row r="9" ht="14.25" customHeight="1">
      <c r="A9" s="3" t="s">
        <v>12</v>
      </c>
      <c r="B9" s="3">
        <v>25.0</v>
      </c>
      <c r="C9" s="3"/>
      <c r="D9" s="3" t="s">
        <v>13</v>
      </c>
      <c r="E9" s="7">
        <f>E8*B5</f>
        <v>84000000</v>
      </c>
      <c r="F9" s="5"/>
      <c r="G9" s="3">
        <v>10.0</v>
      </c>
      <c r="H9" s="3">
        <f t="shared" si="1"/>
        <v>14280</v>
      </c>
    </row>
    <row r="10" ht="14.25" customHeight="1">
      <c r="A10" s="3" t="s">
        <v>14</v>
      </c>
      <c r="B10" s="3">
        <v>0.85</v>
      </c>
      <c r="C10" s="3"/>
      <c r="D10" s="3" t="s">
        <v>15</v>
      </c>
      <c r="E10" s="7">
        <f>E7*B11</f>
        <v>6168960000</v>
      </c>
      <c r="F10" s="5"/>
      <c r="G10" s="3">
        <v>12.0</v>
      </c>
      <c r="H10" s="3">
        <f t="shared" si="1"/>
        <v>17136</v>
      </c>
    </row>
    <row r="11" ht="14.25" customHeight="1">
      <c r="A11" s="3" t="s">
        <v>16</v>
      </c>
      <c r="B11" s="7">
        <v>1800.0</v>
      </c>
      <c r="C11" s="3"/>
      <c r="D11" s="3" t="s">
        <v>17</v>
      </c>
      <c r="E11" s="7">
        <f>E10-E9</f>
        <v>6084960000</v>
      </c>
      <c r="F11" s="5"/>
    </row>
    <row r="12" ht="14.25" customHeight="1">
      <c r="A12" s="3" t="s">
        <v>18</v>
      </c>
      <c r="B12" s="7">
        <v>120000.0</v>
      </c>
      <c r="C12" s="3"/>
      <c r="D12" s="3"/>
      <c r="E12" s="3"/>
      <c r="F12" s="5"/>
    </row>
    <row r="13" ht="14.25" customHeight="1">
      <c r="A13" s="3" t="s">
        <v>19</v>
      </c>
      <c r="B13" s="7">
        <v>80000.0</v>
      </c>
      <c r="C13" s="3"/>
      <c r="D13" s="3"/>
      <c r="E13" s="3"/>
      <c r="F13" s="5"/>
    </row>
    <row r="14" ht="14.25" customHeight="1">
      <c r="A14" s="3" t="s">
        <v>20</v>
      </c>
      <c r="B14" s="7">
        <v>50000.0</v>
      </c>
      <c r="C14" s="3"/>
      <c r="D14" s="3"/>
      <c r="E14" s="3"/>
      <c r="F14" s="5"/>
    </row>
    <row r="15" ht="14.25" customHeight="1">
      <c r="A15" s="3" t="s">
        <v>21</v>
      </c>
      <c r="B15" s="7">
        <v>30000.0</v>
      </c>
      <c r="C15" s="3"/>
      <c r="D15" s="3"/>
      <c r="E15" s="3"/>
      <c r="F15" s="5"/>
    </row>
    <row r="16" ht="14.25" customHeight="1"/>
    <row r="17" ht="14.25" customHeight="1"/>
    <row r="18" ht="14.25" customHeight="1">
      <c r="A18" s="2" t="s">
        <v>22</v>
      </c>
    </row>
    <row r="19" ht="14.25" customHeight="1">
      <c r="A19" s="3" t="s">
        <v>23</v>
      </c>
    </row>
    <row r="20" ht="14.25" customHeight="1">
      <c r="A20" s="3" t="s">
        <v>24</v>
      </c>
      <c r="D20" s="5"/>
    </row>
    <row r="21" ht="14.25" customHeight="1">
      <c r="A21" s="3" t="s">
        <v>25</v>
      </c>
    </row>
    <row r="22" ht="14.25" customHeight="1">
      <c r="A22" s="3" t="s">
        <v>26</v>
      </c>
    </row>
    <row r="23" ht="14.25" customHeight="1"/>
    <row r="24" ht="14.25" customHeight="1"/>
    <row r="25" ht="14.25" customHeight="1">
      <c r="A25" s="2" t="s">
        <v>27</v>
      </c>
    </row>
    <row r="26" ht="82.5" customHeight="1">
      <c r="A26" s="8" t="s">
        <v>28</v>
      </c>
    </row>
    <row r="27" ht="14.25" customHeight="1">
      <c r="A27" s="9"/>
    </row>
    <row r="28" ht="14.25" customHeight="1">
      <c r="A28" s="10" t="s">
        <v>29</v>
      </c>
    </row>
    <row r="29" ht="14.25" customHeight="1">
      <c r="A29" s="10" t="s">
        <v>30</v>
      </c>
    </row>
    <row r="30" ht="14.25" customHeight="1">
      <c r="A30" s="11" t="s">
        <v>31</v>
      </c>
    </row>
    <row r="31" ht="14.25" customHeight="1">
      <c r="A31" s="10"/>
    </row>
    <row r="32" ht="14.25" customHeight="1">
      <c r="A32" s="11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2026-05-19T14:05:55Z</dcterms:created>
  <dc:creator>Arjun Singh</dc:creator>
</cp:coreProperties>
</file>